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ocumentos\Projeto 1 – Análise de Vendas (Excel)\"/>
    </mc:Choice>
  </mc:AlternateContent>
  <xr:revisionPtr revIDLastSave="0" documentId="13_ncr:1_{DC238CBB-E626-4D65-A496-9EBAA8E88AC1}" xr6:coauthVersionLast="47" xr6:coauthVersionMax="47" xr10:uidLastSave="{00000000-0000-0000-0000-000000000000}"/>
  <bookViews>
    <workbookView xWindow="-120" yWindow="-120" windowWidth="20730" windowHeight="11040" xr2:uid="{9D850B0D-D736-45C8-8528-35689B575ABC}"/>
  </bookViews>
  <sheets>
    <sheet name="Dados" sheetId="1" r:id="rId1"/>
    <sheet name="Tabelas" sheetId="3" r:id="rId2"/>
    <sheet name="Grafico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C9" i="1"/>
  <c r="D9" i="1"/>
  <c r="G9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<sst xmlns="http://schemas.openxmlformats.org/spreadsheetml/2006/main" count="56" uniqueCount="31">
  <si>
    <t>Data</t>
  </si>
  <si>
    <t>Produto</t>
  </si>
  <si>
    <t>Quantidade</t>
  </si>
  <si>
    <t>Preço (R$)</t>
  </si>
  <si>
    <t>Vendedor</t>
  </si>
  <si>
    <t>Região</t>
  </si>
  <si>
    <t>Tênis Eco Couro Fem.</t>
  </si>
  <si>
    <t>Sapatilha Bio Mas.</t>
  </si>
  <si>
    <t>Sandália Vegana</t>
  </si>
  <si>
    <t>Tênis Casual Masc.</t>
  </si>
  <si>
    <t>Bota Ecológica</t>
  </si>
  <si>
    <t>Meia Orgânica (par)</t>
  </si>
  <si>
    <t>Ana</t>
  </si>
  <si>
    <t>Carla</t>
  </si>
  <si>
    <t>Beatriz</t>
  </si>
  <si>
    <t>Sudeste</t>
  </si>
  <si>
    <t>Sul</t>
  </si>
  <si>
    <t>Nordeste</t>
  </si>
  <si>
    <t>Centro-Oeste</t>
  </si>
  <si>
    <t>Norte</t>
  </si>
  <si>
    <t>Faturamento Total</t>
  </si>
  <si>
    <t>Total</t>
  </si>
  <si>
    <t>Total Geral</t>
  </si>
  <si>
    <t>Ticket Médio</t>
  </si>
  <si>
    <t>Quantidade De Produtos</t>
  </si>
  <si>
    <t>Faturamento Total/Quantidade</t>
  </si>
  <si>
    <t>Maior Faturamento</t>
  </si>
  <si>
    <t>Produtos</t>
  </si>
  <si>
    <t>Produtos/Datas</t>
  </si>
  <si>
    <t>Faturamento Total/Mes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</si>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</sst>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0F1115"/>
      <name val="Arial"/>
      <family val="2"/>
    </font>
    <font>
      <sz val="11"/>
      <color rgb="FF0F1115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4" fillId="0" borderId="0" xfId="0" applyFont="1" applyAlignment="1">
      <alignment vertical="center"/>
    </xf>
    <xf numFmtId="4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14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4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44" fontId="3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44" fontId="7" fillId="2" borderId="1" xfId="0" applyNumberFormat="1" applyFont="1" applyFill="1" applyBorder="1"/>
    <xf numFmtId="0" fontId="5" fillId="2" borderId="2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 Faturamento por Região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Sudeste</c:v>
              </c:pt>
              <c:pt idx="1">
                <c:v>Nordeste</c:v>
              </c:pt>
              <c:pt idx="2">
                <c:v>Centro-Oeste</c:v>
              </c:pt>
              <c:pt idx="3">
                <c:v>Sul</c:v>
              </c:pt>
              <c:pt idx="4">
                <c:v>Norte</c:v>
              </c:pt>
            </c:strLit>
          </c:cat>
          <c:val>
            <c:numLit>
              <c:formatCode>General</c:formatCode>
              <c:ptCount val="5"/>
              <c:pt idx="0">
                <c:v>679.7</c:v>
              </c:pt>
              <c:pt idx="1">
                <c:v>389.70000000000005</c:v>
              </c:pt>
              <c:pt idx="2">
                <c:v>219.9</c:v>
              </c:pt>
              <c:pt idx="3">
                <c:v>149.9</c:v>
              </c:pt>
              <c:pt idx="4">
                <c:v>99.5</c:v>
              </c:pt>
            </c:numLit>
          </c:val>
          <c:extLst>
            <c:ext xmlns:c16="http://schemas.microsoft.com/office/drawing/2014/chart" uri="{C3380CC4-5D6E-409C-BE32-E72D297353CC}">
              <c16:uniqueId val="{00000000-FB5E-417D-9C1F-19DDE14C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28147471"/>
        <c:axId val="410144928"/>
      </c:barChart>
      <c:catAx>
        <c:axId val="7281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144928"/>
        <c:crosses val="autoZero"/>
        <c:auto val="1"/>
        <c:lblAlgn val="ctr"/>
        <c:lblOffset val="100"/>
        <c:noMultiLvlLbl val="0"/>
      </c:catAx>
      <c:valAx>
        <c:axId val="410144928"/>
        <c:scaling>
          <c:orientation val="minMax"/>
          <c:max val="7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4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Vendida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3803149606299214E-2"/>
          <c:y val="0.16708333333333336"/>
          <c:w val="0.91564129483814527"/>
          <c:h val="0.67503098571011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Dados!$C$2</c:f>
              <c:strCache>
                <c:ptCount val="1"/>
                <c:pt idx="0">
                  <c:v>Quantidade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Dados!$B$3:$B$8</c:f>
              <c:strCache>
                <c:ptCount val="6"/>
                <c:pt idx="0">
                  <c:v>Tênis Eco Couro Fem.</c:v>
                </c:pt>
                <c:pt idx="1">
                  <c:v>Sapatilha Bio Mas.</c:v>
                </c:pt>
                <c:pt idx="2">
                  <c:v>Sandália Vegana</c:v>
                </c:pt>
                <c:pt idx="3">
                  <c:v>Tênis Casual Masc.</c:v>
                </c:pt>
                <c:pt idx="4">
                  <c:v>Bota Ecológica</c:v>
                </c:pt>
                <c:pt idx="5">
                  <c:v>Meia Orgânica (par)</c:v>
                </c:pt>
              </c:strCache>
            </c:strRef>
          </c:cat>
          <c:val>
            <c:numRef>
              <c:f>Dados!$C$3:$C$8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4-48C8-B996-D1AC210F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1642431"/>
        <c:axId val="841680127"/>
      </c:barChart>
      <c:catAx>
        <c:axId val="84164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680127"/>
        <c:crosses val="autoZero"/>
        <c:auto val="1"/>
        <c:lblAlgn val="ctr"/>
        <c:lblOffset val="100"/>
        <c:noMultiLvlLbl val="0"/>
      </c:catAx>
      <c:valAx>
        <c:axId val="84168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64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das Vendas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6"/>
              <c:pt idx="0">
                <c:v>Bota Ecológica 01/03/2025</c:v>
              </c:pt>
              <c:pt idx="1">
                <c:v>Meia Orgânica (par) 01/03/2025</c:v>
              </c:pt>
              <c:pt idx="2">
                <c:v>Sandália Vegana 01/03/2025</c:v>
              </c:pt>
              <c:pt idx="3">
                <c:v>Sapatilha Bio Mas. 01/03/2025</c:v>
              </c:pt>
              <c:pt idx="4">
                <c:v>Tênis Casual Masc. 01/03/2025</c:v>
              </c:pt>
              <c:pt idx="5">
                <c:v>Tênis Eco Couro Fem. 01/03/2025</c:v>
              </c:pt>
            </c:strLit>
          </c:cat>
          <c:val>
            <c:numLit>
              <c:formatCode>General</c:formatCode>
              <c:ptCount val="6"/>
              <c:pt idx="0">
                <c:v>299.89999999999998</c:v>
              </c:pt>
              <c:pt idx="1">
                <c:v>99.5</c:v>
              </c:pt>
              <c:pt idx="2">
                <c:v>389.70000000000005</c:v>
              </c:pt>
              <c:pt idx="3">
                <c:v>149.9</c:v>
              </c:pt>
              <c:pt idx="4">
                <c:v>219.9</c:v>
              </c:pt>
              <c:pt idx="5">
                <c:v>379.8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084-4616-A815-B00B8537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52592"/>
        <c:axId val="78954512"/>
      </c:lineChart>
      <c:catAx>
        <c:axId val="7895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54512"/>
        <c:crosses val="autoZero"/>
        <c:auto val="1"/>
        <c:lblAlgn val="ctr"/>
        <c:lblOffset val="100"/>
        <c:noMultiLvlLbl val="0"/>
      </c:catAx>
      <c:valAx>
        <c:axId val="78954512"/>
        <c:scaling>
          <c:orientation val="minMax"/>
          <c:max val="4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5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52387</xdr:rowOff>
    </xdr:from>
    <xdr:to>
      <xdr:col>9</xdr:col>
      <xdr:colOff>381000</xdr:colOff>
      <xdr:row>14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E5D402-802D-39EF-65A3-8FD7C7147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538161</xdr:colOff>
      <xdr:row>0</xdr:row>
      <xdr:rowOff>61912</xdr:rowOff>
    </xdr:from>
    <xdr:to>
      <xdr:col>18</xdr:col>
      <xdr:colOff>66674</xdr:colOff>
      <xdr:row>14</xdr:row>
      <xdr:rowOff>138112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1CE0AC-F4C1-BF89-5F2A-40F2A52DF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205236</xdr:colOff>
      <xdr:row>15</xdr:row>
      <xdr:rowOff>87703</xdr:rowOff>
    </xdr:from>
    <xdr:to>
      <xdr:col>15</xdr:col>
      <xdr:colOff>243336</xdr:colOff>
      <xdr:row>32</xdr:row>
      <xdr:rowOff>4314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E5EEB7F-84E5-8030-312A-75AA7FF7D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1.641852314817" createdVersion="8" refreshedVersion="8" minRefreshableVersion="3" recordCount="6" xr:uid="{50910E64-726A-4F9A-B9B8-1F2BEF53942F}">
  <cacheSource type="worksheet">
    <worksheetSource ref="A2:G8" sheet="Dados"/>
  </cacheSource>
  <cacheFields count="7">
    <cacheField name="Data" numFmtId="14">
      <sharedItems containsSemiMixedTypes="0" containsNonDate="0" containsDate="1" containsString="0" minDate="2025-03-01T00:00:00" maxDate="2025-03-02T00:00:00" count="1">
        <d v="2025-03-01T00:00:00"/>
      </sharedItems>
    </cacheField>
    <cacheField name="Produto" numFmtId="0">
      <sharedItems count="6">
        <s v="Tênis Eco Couro Fem."/>
        <s v="Sapatilha Bio Mas."/>
        <s v="Sandália Vegana"/>
        <s v="Tênis Casual Masc."/>
        <s v="Bota Ecológica"/>
        <s v="Meia Orgânica (par)"/>
      </sharedItems>
    </cacheField>
    <cacheField name="Quantidade" numFmtId="0">
      <sharedItems containsSemiMixedTypes="0" containsString="0" containsNumber="1" containsInteger="1" minValue="1" maxValue="5"/>
    </cacheField>
    <cacheField name="Preço (R$)" numFmtId="44">
      <sharedItems containsSemiMixedTypes="0" containsString="0" containsNumber="1" minValue="19.899999999999999" maxValue="299.89999999999998"/>
    </cacheField>
    <cacheField name="Vendedor" numFmtId="0">
      <sharedItems/>
    </cacheField>
    <cacheField name="Região" numFmtId="0">
      <sharedItems count="5">
        <s v="Sudeste"/>
        <s v="Sul"/>
        <s v="Nordeste"/>
        <s v="Centro-Oeste"/>
        <s v="Norte"/>
      </sharedItems>
    </cacheField>
    <cacheField name="Faturamento Total" numFmtId="44">
      <sharedItems containsSemiMixedTypes="0" containsString="0" containsNumber="1" minValue="99.5" maxValue="389.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"/>
    <n v="189.9"/>
    <s v="Ana"/>
    <x v="0"/>
    <n v="379.8"/>
  </r>
  <r>
    <x v="0"/>
    <x v="1"/>
    <n v="1"/>
    <n v="149.9"/>
    <s v="Carla"/>
    <x v="1"/>
    <n v="149.9"/>
  </r>
  <r>
    <x v="0"/>
    <x v="2"/>
    <n v="3"/>
    <n v="129.9"/>
    <s v="Beatriz"/>
    <x v="2"/>
    <n v="389.70000000000005"/>
  </r>
  <r>
    <x v="0"/>
    <x v="3"/>
    <n v="1"/>
    <n v="219.9"/>
    <s v="Ana"/>
    <x v="3"/>
    <n v="219.9"/>
  </r>
  <r>
    <x v="0"/>
    <x v="4"/>
    <n v="1"/>
    <n v="299.89999999999998"/>
    <s v="Carla"/>
    <x v="0"/>
    <n v="299.89999999999998"/>
  </r>
  <r>
    <x v="0"/>
    <x v="5"/>
    <n v="5"/>
    <n v="19.899999999999999"/>
    <s v="Beatriz"/>
    <x v="4"/>
    <n v="9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B472F-077E-40DB-87C5-2E83A042B8C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Região">
  <location ref="A10:B16" firstHeaderRow="1" firstDataRow="1" firstDataCol="1"/>
  <pivotFields count="7">
    <pivotField numFmtId="14" showAll="0"/>
    <pivotField showAll="0"/>
    <pivotField showAll="0"/>
    <pivotField numFmtId="44" showAll="0"/>
    <pivotField showAll="0"/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</pivotFields>
  <rowFields count="1">
    <field x="5"/>
  </rowFields>
  <rowItems count="6">
    <i>
      <x v="3"/>
    </i>
    <i>
      <x v="1"/>
    </i>
    <i>
      <x/>
    </i>
    <i>
      <x v="4"/>
    </i>
    <i>
      <x v="2"/>
    </i>
    <i t="grand">
      <x/>
    </i>
  </rowItems>
  <colItems count="1">
    <i/>
  </colItems>
  <dataFields count="1">
    <dataField name="Maior Faturamento" fld="6" baseField="5" baseItem="3" numFmtId="4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5D413-51DA-4CD7-92D9-6F0BD438334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tos">
  <location ref="A1:C8" firstHeaderRow="0" firstDataRow="1" firstDataCol="1"/>
  <pivotFields count="7">
    <pivotField numFmtId="14" showAll="0"/>
    <pivotField axis="axisRow" showAll="0" sortType="descending">
      <items count="7">
        <item x="4"/>
        <item x="5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44" showAll="0"/>
    <pivotField showAll="0"/>
    <pivotField showAll="0">
      <items count="6">
        <item x="3"/>
        <item x="2"/>
        <item x="4"/>
        <item x="0"/>
        <item x="1"/>
        <item t="default"/>
      </items>
    </pivotField>
    <pivotField dataField="1" numFmtId="44" showAll="0"/>
  </pivotFields>
  <rowFields count="1">
    <field x="1"/>
  </rowFields>
  <rowItems count="7">
    <i>
      <x v="1"/>
    </i>
    <i>
      <x v="2"/>
    </i>
    <i>
      <x v="5"/>
    </i>
    <i>
      <x v="4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Quantidade De Produtos" fld="2" baseField="1" baseItem="1"/>
    <dataField name="Faturamento Total/Quantidade" fld="6" baseField="1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8BD12-CAC3-431C-935D-CEC94AFE7D4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rodutos/Datas">
  <location ref="E1:F14" firstHeaderRow="1" firstDataRow="1" firstDataCol="1"/>
  <pivotFields count="7">
    <pivotField axis="axisRow" numFmtId="14" showAll="0">
      <items count="2">
        <item x="0"/>
        <item t="default"/>
      </items>
    </pivotField>
    <pivotField axis="axisRow" showAll="0">
      <items count="7">
        <item x="4"/>
        <item x="5"/>
        <item x="2"/>
        <item x="1"/>
        <item x="3"/>
        <item x="0"/>
        <item t="default"/>
      </items>
    </pivotField>
    <pivotField showAll="0"/>
    <pivotField numFmtId="44" showAll="0"/>
    <pivotField showAll="0"/>
    <pivotField showAll="0"/>
    <pivotField dataField="1" numFmtId="44" showAll="0"/>
  </pivotFields>
  <rowFields count="2">
    <field x="1"/>
    <field x="0"/>
  </rowFields>
  <rowItems count="13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 t="grand">
      <x/>
    </i>
  </rowItems>
  <colItems count="1">
    <i/>
  </colItems>
  <dataFields count="1">
    <dataField name="Faturamento Total/Mes" fld="6" baseField="1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2E20-EBB5-44CA-8FDA-B9CA9A7B15EB}">
  <dimension ref="A1:L16"/>
  <sheetViews>
    <sheetView tabSelected="1" workbookViewId="0">
      <selection activeCell="F13" sqref="F13"/>
    </sheetView>
  </sheetViews>
  <sheetFormatPr defaultRowHeight="15" x14ac:dyDescent="0.25"/>
  <cols>
    <col min="1" max="1" width="22.5703125" bestFit="1" customWidth="1"/>
    <col min="2" max="2" width="26" bestFit="1" customWidth="1"/>
    <col min="3" max="3" width="29" bestFit="1" customWidth="1"/>
    <col min="4" max="4" width="22.5703125" bestFit="1" customWidth="1"/>
    <col min="5" max="5" width="12.42578125" bestFit="1" customWidth="1"/>
    <col min="6" max="6" width="18.140625" customWidth="1"/>
    <col min="7" max="7" width="26" bestFit="1" customWidth="1"/>
    <col min="8" max="8" width="10.7109375" bestFit="1" customWidth="1"/>
    <col min="9" max="9" width="9.7109375" bestFit="1" customWidth="1"/>
    <col min="10" max="11" width="10.7109375" bestFit="1" customWidth="1"/>
    <col min="12" max="12" width="19.85546875" bestFit="1" customWidth="1"/>
    <col min="13" max="13" width="9.42578125" bestFit="1" customWidth="1"/>
    <col min="14" max="14" width="6.140625" bestFit="1" customWidth="1"/>
    <col min="15" max="15" width="8.42578125" bestFit="1" customWidth="1"/>
    <col min="16" max="16" width="3.85546875" bestFit="1" customWidth="1"/>
    <col min="17" max="17" width="24.85546875" bestFit="1" customWidth="1"/>
    <col min="18" max="18" width="31" bestFit="1" customWidth="1"/>
    <col min="19" max="19" width="24.85546875" bestFit="1" customWidth="1"/>
  </cols>
  <sheetData>
    <row r="1" spans="1:12" ht="18.75" x14ac:dyDescent="0.25">
      <c r="A1" s="24"/>
      <c r="B1" s="25"/>
      <c r="C1" s="25"/>
      <c r="D1" s="25"/>
      <c r="E1" s="25"/>
      <c r="F1" s="25"/>
      <c r="G1" s="26"/>
      <c r="K1" s="1"/>
      <c r="L1" s="1"/>
    </row>
    <row r="2" spans="1:12" ht="15.75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2" t="s">
        <v>20</v>
      </c>
      <c r="I2" s="5"/>
      <c r="J2" s="5"/>
    </row>
    <row r="3" spans="1:12" x14ac:dyDescent="0.25">
      <c r="A3" s="13">
        <v>45717</v>
      </c>
      <c r="B3" s="14" t="s">
        <v>6</v>
      </c>
      <c r="C3" s="6">
        <v>2</v>
      </c>
      <c r="D3" s="15">
        <v>189.9</v>
      </c>
      <c r="E3" s="16" t="s">
        <v>12</v>
      </c>
      <c r="F3" s="16" t="s">
        <v>15</v>
      </c>
      <c r="G3" s="17">
        <f>C3*D3</f>
        <v>379.8</v>
      </c>
    </row>
    <row r="4" spans="1:12" x14ac:dyDescent="0.25">
      <c r="A4" s="13">
        <v>45718</v>
      </c>
      <c r="B4" s="14" t="s">
        <v>7</v>
      </c>
      <c r="C4" s="6">
        <v>1</v>
      </c>
      <c r="D4" s="15">
        <v>149.9</v>
      </c>
      <c r="E4" s="16" t="s">
        <v>13</v>
      </c>
      <c r="F4" s="16" t="s">
        <v>16</v>
      </c>
      <c r="G4" s="17">
        <f t="shared" ref="G4:G8" si="0">C4*D4</f>
        <v>149.9</v>
      </c>
    </row>
    <row r="5" spans="1:12" x14ac:dyDescent="0.25">
      <c r="A5" s="13">
        <v>45719</v>
      </c>
      <c r="B5" s="14" t="s">
        <v>8</v>
      </c>
      <c r="C5" s="6">
        <v>3</v>
      </c>
      <c r="D5" s="15">
        <v>129.9</v>
      </c>
      <c r="E5" s="16" t="s">
        <v>14</v>
      </c>
      <c r="F5" s="16" t="s">
        <v>17</v>
      </c>
      <c r="G5" s="17">
        <f t="shared" si="0"/>
        <v>389.70000000000005</v>
      </c>
    </row>
    <row r="6" spans="1:12" x14ac:dyDescent="0.25">
      <c r="A6" s="13">
        <v>45720</v>
      </c>
      <c r="B6" s="14" t="s">
        <v>9</v>
      </c>
      <c r="C6" s="6">
        <v>1</v>
      </c>
      <c r="D6" s="15">
        <v>219.9</v>
      </c>
      <c r="E6" s="16" t="s">
        <v>12</v>
      </c>
      <c r="F6" s="16" t="s">
        <v>18</v>
      </c>
      <c r="G6" s="17">
        <f t="shared" si="0"/>
        <v>219.9</v>
      </c>
    </row>
    <row r="7" spans="1:12" x14ac:dyDescent="0.25">
      <c r="A7" s="13">
        <v>45721</v>
      </c>
      <c r="B7" s="14" t="s">
        <v>10</v>
      </c>
      <c r="C7" s="6">
        <v>1</v>
      </c>
      <c r="D7" s="15">
        <v>299.89999999999998</v>
      </c>
      <c r="E7" s="16" t="s">
        <v>13</v>
      </c>
      <c r="F7" s="16" t="s">
        <v>15</v>
      </c>
      <c r="G7" s="17">
        <f t="shared" si="0"/>
        <v>299.89999999999998</v>
      </c>
    </row>
    <row r="8" spans="1:12" x14ac:dyDescent="0.25">
      <c r="A8" s="13">
        <v>45722</v>
      </c>
      <c r="B8" s="14" t="s">
        <v>11</v>
      </c>
      <c r="C8" s="6">
        <v>5</v>
      </c>
      <c r="D8" s="15">
        <v>19.899999999999999</v>
      </c>
      <c r="E8" s="16" t="s">
        <v>14</v>
      </c>
      <c r="F8" s="16" t="s">
        <v>19</v>
      </c>
      <c r="G8" s="17">
        <f t="shared" si="0"/>
        <v>99.5</v>
      </c>
    </row>
    <row r="9" spans="1:12" x14ac:dyDescent="0.25">
      <c r="A9" s="22" t="s">
        <v>21</v>
      </c>
      <c r="B9" s="23"/>
      <c r="C9" s="18">
        <f>COUNT(C3:C8)</f>
        <v>6</v>
      </c>
      <c r="D9" s="19">
        <f>SUM(D3:D8)</f>
        <v>1009.4</v>
      </c>
      <c r="E9" s="20" t="s">
        <v>30</v>
      </c>
      <c r="F9" s="11" t="s">
        <v>21</v>
      </c>
      <c r="G9" s="21">
        <f>SUM(G3:G8)</f>
        <v>1538.7000000000003</v>
      </c>
    </row>
    <row r="13" spans="1:12" ht="15" customHeight="1" x14ac:dyDescent="0.25">
      <c r="H13" s="8"/>
      <c r="I13" s="8"/>
    </row>
    <row r="14" spans="1:12" ht="15" customHeight="1" x14ac:dyDescent="0.25">
      <c r="H14" s="8"/>
      <c r="I14" s="8"/>
    </row>
    <row r="15" spans="1:12" x14ac:dyDescent="0.25">
      <c r="H15" s="9"/>
      <c r="I15" s="10"/>
    </row>
    <row r="16" spans="1:12" x14ac:dyDescent="0.25">
      <c r="H16" s="10"/>
      <c r="I16" s="10"/>
    </row>
  </sheetData>
  <mergeCells count="2">
    <mergeCell ref="A9:B9"/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A28C-EF00-4EB9-884A-6EC10E8D64BD}">
  <dimension ref="A1:I16"/>
  <sheetViews>
    <sheetView showGridLines="0" workbookViewId="0">
      <selection activeCell="C16" sqref="C16"/>
    </sheetView>
  </sheetViews>
  <sheetFormatPr defaultRowHeight="15" x14ac:dyDescent="0.25"/>
  <cols>
    <col min="1" max="1" width="20" bestFit="1" customWidth="1"/>
    <col min="2" max="2" width="23.42578125" bestFit="1" customWidth="1"/>
    <col min="3" max="3" width="29" bestFit="1" customWidth="1"/>
    <col min="5" max="5" width="22.5703125" bestFit="1" customWidth="1"/>
    <col min="6" max="6" width="22.140625" bestFit="1" customWidth="1"/>
  </cols>
  <sheetData>
    <row r="1" spans="1:9" x14ac:dyDescent="0.25">
      <c r="A1" s="3" t="s">
        <v>27</v>
      </c>
      <c r="B1" s="3" t="s">
        <v>24</v>
      </c>
      <c r="C1" t="s">
        <v>25</v>
      </c>
      <c r="E1" s="3" t="s">
        <v>28</v>
      </c>
      <c r="F1" t="s">
        <v>29</v>
      </c>
      <c r="H1" s="27" t="s">
        <v>23</v>
      </c>
      <c r="I1" s="27"/>
    </row>
    <row r="2" spans="1:9" x14ac:dyDescent="0.25">
      <c r="A2" s="4" t="s">
        <v>11</v>
      </c>
      <c r="B2">
        <v>5</v>
      </c>
      <c r="C2" s="2">
        <v>99.5</v>
      </c>
      <c r="E2" s="4" t="s">
        <v>10</v>
      </c>
      <c r="F2" s="2">
        <v>299.89999999999998</v>
      </c>
      <c r="H2" s="27"/>
      <c r="I2" s="27"/>
    </row>
    <row r="3" spans="1:9" x14ac:dyDescent="0.25">
      <c r="A3" s="4" t="s">
        <v>8</v>
      </c>
      <c r="B3">
        <v>3</v>
      </c>
      <c r="C3" s="2">
        <v>389.70000000000005</v>
      </c>
      <c r="E3" s="7">
        <v>45717</v>
      </c>
      <c r="F3" s="2">
        <v>299.89999999999998</v>
      </c>
      <c r="H3" s="28">
        <f>Dados!G9/Dados!C9</f>
        <v>256.45000000000005</v>
      </c>
      <c r="I3" s="29"/>
    </row>
    <row r="4" spans="1:9" x14ac:dyDescent="0.25">
      <c r="A4" s="4" t="s">
        <v>6</v>
      </c>
      <c r="B4">
        <v>2</v>
      </c>
      <c r="C4" s="2">
        <v>379.8</v>
      </c>
      <c r="E4" s="4" t="s">
        <v>11</v>
      </c>
      <c r="F4" s="2">
        <v>99.5</v>
      </c>
      <c r="H4" s="29"/>
      <c r="I4" s="29"/>
    </row>
    <row r="5" spans="1:9" x14ac:dyDescent="0.25">
      <c r="A5" s="4" t="s">
        <v>9</v>
      </c>
      <c r="B5">
        <v>1</v>
      </c>
      <c r="C5" s="2">
        <v>219.9</v>
      </c>
      <c r="E5" s="7">
        <v>45717</v>
      </c>
      <c r="F5" s="2">
        <v>99.5</v>
      </c>
    </row>
    <row r="6" spans="1:9" x14ac:dyDescent="0.25">
      <c r="A6" s="4" t="s">
        <v>10</v>
      </c>
      <c r="B6">
        <v>1</v>
      </c>
      <c r="C6" s="2">
        <v>299.89999999999998</v>
      </c>
      <c r="E6" s="4" t="s">
        <v>8</v>
      </c>
      <c r="F6" s="2">
        <v>389.70000000000005</v>
      </c>
    </row>
    <row r="7" spans="1:9" x14ac:dyDescent="0.25">
      <c r="A7" s="4" t="s">
        <v>7</v>
      </c>
      <c r="B7">
        <v>1</v>
      </c>
      <c r="C7" s="2">
        <v>149.9</v>
      </c>
      <c r="E7" s="7">
        <v>45717</v>
      </c>
      <c r="F7" s="2">
        <v>389.70000000000005</v>
      </c>
    </row>
    <row r="8" spans="1:9" x14ac:dyDescent="0.25">
      <c r="A8" s="4" t="s">
        <v>22</v>
      </c>
      <c r="B8">
        <v>13</v>
      </c>
      <c r="C8" s="2">
        <v>1538.7</v>
      </c>
      <c r="E8" s="4" t="s">
        <v>7</v>
      </c>
      <c r="F8" s="2">
        <v>149.9</v>
      </c>
    </row>
    <row r="9" spans="1:9" x14ac:dyDescent="0.25">
      <c r="E9" s="7">
        <v>45717</v>
      </c>
      <c r="F9" s="2">
        <v>149.9</v>
      </c>
    </row>
    <row r="10" spans="1:9" x14ac:dyDescent="0.25">
      <c r="A10" s="3" t="s">
        <v>5</v>
      </c>
      <c r="B10" t="s">
        <v>26</v>
      </c>
      <c r="E10" s="4" t="s">
        <v>9</v>
      </c>
      <c r="F10" s="2">
        <v>219.9</v>
      </c>
    </row>
    <row r="11" spans="1:9" x14ac:dyDescent="0.25">
      <c r="A11" s="4" t="s">
        <v>15</v>
      </c>
      <c r="B11" s="2">
        <v>679.7</v>
      </c>
      <c r="E11" s="7">
        <v>45717</v>
      </c>
      <c r="F11" s="2">
        <v>219.9</v>
      </c>
    </row>
    <row r="12" spans="1:9" x14ac:dyDescent="0.25">
      <c r="A12" s="4" t="s">
        <v>17</v>
      </c>
      <c r="B12" s="2">
        <v>389.70000000000005</v>
      </c>
      <c r="E12" s="4" t="s">
        <v>6</v>
      </c>
      <c r="F12" s="2">
        <v>379.8</v>
      </c>
    </row>
    <row r="13" spans="1:9" x14ac:dyDescent="0.25">
      <c r="A13" s="4" t="s">
        <v>18</v>
      </c>
      <c r="B13" s="2">
        <v>219.9</v>
      </c>
      <c r="E13" s="7">
        <v>45717</v>
      </c>
      <c r="F13" s="2">
        <v>379.8</v>
      </c>
    </row>
    <row r="14" spans="1:9" x14ac:dyDescent="0.25">
      <c r="A14" s="4" t="s">
        <v>16</v>
      </c>
      <c r="B14" s="2">
        <v>149.9</v>
      </c>
      <c r="E14" s="4" t="s">
        <v>22</v>
      </c>
      <c r="F14" s="2">
        <v>1538.7</v>
      </c>
    </row>
    <row r="15" spans="1:9" x14ac:dyDescent="0.25">
      <c r="A15" s="4" t="s">
        <v>19</v>
      </c>
      <c r="B15" s="2">
        <v>99.5</v>
      </c>
    </row>
    <row r="16" spans="1:9" x14ac:dyDescent="0.25">
      <c r="A16" s="4" t="s">
        <v>22</v>
      </c>
      <c r="B16" s="2">
        <v>1538.7000000000003</v>
      </c>
    </row>
  </sheetData>
  <mergeCells count="2">
    <mergeCell ref="H1:I2"/>
    <mergeCell ref="H3:I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A8D1-47CC-4BBD-9823-4A04505EEB08}">
  <dimension ref="A1"/>
  <sheetViews>
    <sheetView showGridLines="0" zoomScaleNormal="100" workbookViewId="0">
      <selection activeCell="R20" sqref="R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Tabelas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Rocha</dc:creator>
  <cp:lastModifiedBy>Livia Rocha</cp:lastModifiedBy>
  <dcterms:created xsi:type="dcterms:W3CDTF">2026-02-28T17:07:40Z</dcterms:created>
  <dcterms:modified xsi:type="dcterms:W3CDTF">2026-03-10T17:07:27Z</dcterms:modified>
</cp:coreProperties>
</file>